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0901a9ac60d4599/Desktop/tester/"/>
    </mc:Choice>
  </mc:AlternateContent>
  <xr:revisionPtr revIDLastSave="1" documentId="11_E963D8C0034F78476B29BDD8C81D05F7671C7BFB" xr6:coauthVersionLast="47" xr6:coauthVersionMax="47" xr10:uidLastSave="{86C28334-D5AB-466F-82E5-9BFA52484E1B}"/>
  <bookViews>
    <workbookView xWindow="-120" yWindow="-120" windowWidth="20730" windowHeight="11040" tabRatio="500" xr2:uid="{00000000-000D-0000-FFFF-FFFF00000000}"/>
  </bookViews>
  <sheets>
    <sheet name="Test Report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1" l="1"/>
  <c r="F5" i="1"/>
  <c r="F8" i="1" s="1"/>
  <c r="F4" i="1"/>
  <c r="F7" i="1" s="1"/>
  <c r="F9" i="1" l="1"/>
</calcChain>
</file>

<file path=xl/sharedStrings.xml><?xml version="1.0" encoding="utf-8"?>
<sst xmlns="http://schemas.openxmlformats.org/spreadsheetml/2006/main" count="72" uniqueCount="64">
  <si>
    <t>SauceDemo Login Test Execution Report</t>
  </si>
  <si>
    <t>Project</t>
  </si>
  <si>
    <t>SauceDemo Testing</t>
  </si>
  <si>
    <t>SUMMARY</t>
  </si>
  <si>
    <t>Website</t>
  </si>
  <si>
    <t>https://www.saucedemo.com</t>
  </si>
  <si>
    <t>Total Test Cases</t>
  </si>
  <si>
    <t>Module</t>
  </si>
  <si>
    <t>Login</t>
  </si>
  <si>
    <t>Passed</t>
  </si>
  <si>
    <t>Type</t>
  </si>
  <si>
    <t>Manual Testing</t>
  </si>
  <si>
    <t>Failed</t>
  </si>
  <si>
    <t>Browser</t>
  </si>
  <si>
    <t>Chrome</t>
  </si>
  <si>
    <t>Not Run</t>
  </si>
  <si>
    <t>Tester</t>
  </si>
  <si>
    <t>Pass Rate</t>
  </si>
  <si>
    <t>Execution Date</t>
  </si>
  <si>
    <t>19 Oct 2026</t>
  </si>
  <si>
    <t>Overall Result</t>
  </si>
  <si>
    <t>Note: TC_06 assumes the username is case-sensitive (requirement assumption). Yellow cells are filled in by the tester.</t>
  </si>
  <si>
    <t>TC ID</t>
  </si>
  <si>
    <t>Scenario</t>
  </si>
  <si>
    <t>Precondition</t>
  </si>
  <si>
    <t>Steps</t>
  </si>
  <si>
    <t>Test Data</t>
  </si>
  <si>
    <t>Expected Result</t>
  </si>
  <si>
    <t>Actual Result</t>
  </si>
  <si>
    <t>Remarks</t>
  </si>
  <si>
    <t>Status</t>
  </si>
  <si>
    <t>TC_02</t>
  </si>
  <si>
    <t>Login with wrong password</t>
  </si>
  <si>
    <t>saucedemo.com is open in the browser</t>
  </si>
  <si>
    <t>1. Enter standard_user in the Username field
2. Enter wrongpass in the Password field
3. Click the Login button</t>
  </si>
  <si>
    <t>standard_user / wrongpass</t>
  </si>
  <si>
    <t>An error message is displayed and the Products page does not open</t>
  </si>
  <si>
    <t>Error displayed: "Username and password do not match any user in this service". Products page did not open</t>
  </si>
  <si>
    <t>Pass</t>
  </si>
  <si>
    <t>TC_03</t>
  </si>
  <si>
    <t>Login with empty username</t>
  </si>
  <si>
    <t>1. Leave the Username field blank
2. Enter secret_sauce in the Password field
3. Click the Login button</t>
  </si>
  <si>
    <t>(blank) / secret_sauce</t>
  </si>
  <si>
    <t>Error "Username is required" is displayed and the Products page does not open</t>
  </si>
  <si>
    <t>Error displayed: "Username is required". Products page did not open</t>
  </si>
  <si>
    <t>TC_04</t>
  </si>
  <si>
    <t>Login with empty password</t>
  </si>
  <si>
    <t>1. Enter standard_user in the Username field
2. Leave the Password field blank
3. Click the Login button</t>
  </si>
  <si>
    <t>standard_user / (blank)</t>
  </si>
  <si>
    <t>Error "Password is required" is displayed and the Products page does not open</t>
  </si>
  <si>
    <t>Error displayed: "Password is required". Products page did not open</t>
  </si>
  <si>
    <t>TC_05</t>
  </si>
  <si>
    <t>Login with locked user</t>
  </si>
  <si>
    <t>1. Enter locked_out_user in the Username field
2. Enter secret_sauce in the Password field
3. Click the Login button</t>
  </si>
  <si>
    <t>locked_out_user / secret_sauce</t>
  </si>
  <si>
    <t>An error is displayed stating the user is locked out and the Products page does not open</t>
  </si>
  <si>
    <t>Error displayed: "Sorry, this user has been locked out." Products page did not open</t>
  </si>
  <si>
    <t>TC_06</t>
  </si>
  <si>
    <t>Login with username in capital letters</t>
  </si>
  <si>
    <t>saucedemo.com is open in the browser. Assumption: username is case-sensitive</t>
  </si>
  <si>
    <t>1. Enter STANDARD_USER in the Username field
2. Enter secret_sauce in the Password field
3. Click the Login button</t>
  </si>
  <si>
    <t>STANDARD_USER / secret_sauce</t>
  </si>
  <si>
    <t>Error "Username and password do not match any user in this service" is displayed and the Products page does not open</t>
  </si>
  <si>
    <t>Muhammad Haris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</si>
</sst>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3" fillId="0" borderId="0" xfId="0" applyNumberFormat="1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Normal="100" workbookViewId="0">
      <pane ySplit="12" topLeftCell="A13" activePane="bottomLeft" state="frozen"/>
      <selection pane="bottomLeft" activeCell="D14" sqref="D14"/>
    </sheetView>
  </sheetViews>
  <sheetFormatPr defaultColWidth="8.7109375" defaultRowHeight="15" x14ac:dyDescent="0.25"/>
  <cols>
    <col min="1" max="1" width="8" customWidth="1"/>
    <col min="2" max="2" width="26" customWidth="1"/>
    <col min="3" max="3" width="28" customWidth="1"/>
    <col min="4" max="4" width="44" customWidth="1"/>
    <col min="5" max="5" width="28" customWidth="1"/>
    <col min="6" max="6" width="40" customWidth="1"/>
    <col min="7" max="7" width="44" customWidth="1"/>
    <col min="8" max="8" width="20" customWidth="1"/>
    <col min="9" max="9" width="10" customWidth="1"/>
  </cols>
  <sheetData>
    <row r="1" spans="1:9" ht="20.25" x14ac:dyDescent="0.3">
      <c r="A1" s="1" t="s">
        <v>0</v>
      </c>
    </row>
    <row r="3" spans="1:9" x14ac:dyDescent="0.25">
      <c r="A3" s="2" t="s">
        <v>1</v>
      </c>
      <c r="B3" s="3" t="s">
        <v>2</v>
      </c>
      <c r="E3" s="2" t="s">
        <v>3</v>
      </c>
    </row>
    <row r="4" spans="1:9" x14ac:dyDescent="0.25">
      <c r="A4" s="2" t="s">
        <v>4</v>
      </c>
      <c r="B4" s="3" t="s">
        <v>5</v>
      </c>
      <c r="E4" s="2" t="s">
        <v>6</v>
      </c>
      <c r="F4" s="3">
        <f>COUNTA(A13:A17)</f>
        <v>5</v>
      </c>
    </row>
    <row r="5" spans="1:9" x14ac:dyDescent="0.25">
      <c r="A5" s="2" t="s">
        <v>7</v>
      </c>
      <c r="B5" s="3" t="s">
        <v>8</v>
      </c>
      <c r="E5" s="2" t="s">
        <v>9</v>
      </c>
      <c r="F5" s="3">
        <f>COUNTIF(I13:I17,"Pass")</f>
        <v>5</v>
      </c>
    </row>
    <row r="6" spans="1:9" x14ac:dyDescent="0.25">
      <c r="A6" s="2" t="s">
        <v>10</v>
      </c>
      <c r="B6" s="3" t="s">
        <v>11</v>
      </c>
      <c r="E6" s="2" t="s">
        <v>12</v>
      </c>
      <c r="F6" s="3">
        <f>COUNTIF(I13:I17,"Fail")</f>
        <v>0</v>
      </c>
    </row>
    <row r="7" spans="1:9" x14ac:dyDescent="0.25">
      <c r="A7" s="2" t="s">
        <v>13</v>
      </c>
      <c r="B7" s="3" t="s">
        <v>14</v>
      </c>
      <c r="E7" s="2" t="s">
        <v>15</v>
      </c>
      <c r="F7" s="3">
        <f>F4-F5-F6</f>
        <v>0</v>
      </c>
    </row>
    <row r="8" spans="1:9" x14ac:dyDescent="0.25">
      <c r="A8" s="2" t="s">
        <v>16</v>
      </c>
      <c r="B8" s="4" t="s">
        <v>63</v>
      </c>
      <c r="E8" s="2" t="s">
        <v>17</v>
      </c>
      <c r="F8" s="5">
        <f>IFERROR(F5/F4,0)</f>
        <v>1</v>
      </c>
    </row>
    <row r="9" spans="1:9" x14ac:dyDescent="0.25">
      <c r="A9" s="2" t="s">
        <v>18</v>
      </c>
      <c r="B9" s="3" t="s">
        <v>19</v>
      </c>
      <c r="E9" s="2" t="s">
        <v>20</v>
      </c>
      <c r="F9" s="2" t="str">
        <f>IF(F6&gt;0,"FAIL",IF(F7&gt;0,"IN PROGRESS","PASS"))</f>
        <v>PASS</v>
      </c>
    </row>
    <row r="11" spans="1:9" x14ac:dyDescent="0.25">
      <c r="A11" s="6" t="s">
        <v>21</v>
      </c>
    </row>
    <row r="12" spans="1:9" x14ac:dyDescent="0.25">
      <c r="A12" s="7" t="s">
        <v>22</v>
      </c>
      <c r="B12" s="7" t="s">
        <v>23</v>
      </c>
      <c r="C12" s="7" t="s">
        <v>24</v>
      </c>
      <c r="D12" s="7" t="s">
        <v>25</v>
      </c>
      <c r="E12" s="7" t="s">
        <v>26</v>
      </c>
      <c r="F12" s="7" t="s">
        <v>27</v>
      </c>
      <c r="G12" s="7" t="s">
        <v>28</v>
      </c>
      <c r="H12" s="7" t="s">
        <v>29</v>
      </c>
      <c r="I12" s="7" t="s">
        <v>30</v>
      </c>
    </row>
    <row r="13" spans="1:9" ht="42.75" x14ac:dyDescent="0.25">
      <c r="A13" s="8" t="s">
        <v>31</v>
      </c>
      <c r="B13" s="8" t="s">
        <v>32</v>
      </c>
      <c r="C13" s="8" t="s">
        <v>33</v>
      </c>
      <c r="D13" s="8" t="s">
        <v>34</v>
      </c>
      <c r="E13" s="8" t="s">
        <v>35</v>
      </c>
      <c r="F13" s="8" t="s">
        <v>36</v>
      </c>
      <c r="G13" s="8" t="s">
        <v>37</v>
      </c>
      <c r="H13" s="8"/>
      <c r="I13" s="9" t="s">
        <v>38</v>
      </c>
    </row>
    <row r="14" spans="1:9" ht="42.75" x14ac:dyDescent="0.25">
      <c r="A14" s="8" t="s">
        <v>39</v>
      </c>
      <c r="B14" s="8" t="s">
        <v>40</v>
      </c>
      <c r="C14" s="8" t="s">
        <v>33</v>
      </c>
      <c r="D14" s="8" t="s">
        <v>41</v>
      </c>
      <c r="E14" s="8" t="s">
        <v>42</v>
      </c>
      <c r="F14" s="8" t="s">
        <v>43</v>
      </c>
      <c r="G14" s="8" t="s">
        <v>44</v>
      </c>
      <c r="H14" s="8"/>
      <c r="I14" s="9" t="s">
        <v>38</v>
      </c>
    </row>
    <row r="15" spans="1:9" ht="42.75" x14ac:dyDescent="0.25">
      <c r="A15" s="8" t="s">
        <v>45</v>
      </c>
      <c r="B15" s="8" t="s">
        <v>46</v>
      </c>
      <c r="C15" s="8" t="s">
        <v>33</v>
      </c>
      <c r="D15" s="8" t="s">
        <v>47</v>
      </c>
      <c r="E15" s="8" t="s">
        <v>48</v>
      </c>
      <c r="F15" s="8" t="s">
        <v>49</v>
      </c>
      <c r="G15" s="8" t="s">
        <v>50</v>
      </c>
      <c r="H15" s="8"/>
      <c r="I15" s="9" t="s">
        <v>38</v>
      </c>
    </row>
    <row r="16" spans="1:9" ht="57" x14ac:dyDescent="0.25">
      <c r="A16" s="8" t="s">
        <v>51</v>
      </c>
      <c r="B16" s="8" t="s">
        <v>52</v>
      </c>
      <c r="C16" s="8" t="s">
        <v>33</v>
      </c>
      <c r="D16" s="8" t="s">
        <v>53</v>
      </c>
      <c r="E16" s="8" t="s">
        <v>54</v>
      </c>
      <c r="F16" s="8" t="s">
        <v>55</v>
      </c>
      <c r="G16" s="8" t="s">
        <v>56</v>
      </c>
      <c r="H16" s="8"/>
      <c r="I16" s="9" t="s">
        <v>38</v>
      </c>
    </row>
    <row r="17" spans="1:9" ht="57" x14ac:dyDescent="0.25">
      <c r="A17" s="8" t="s">
        <v>57</v>
      </c>
      <c r="B17" s="8" t="s">
        <v>58</v>
      </c>
      <c r="C17" s="8" t="s">
        <v>59</v>
      </c>
      <c r="D17" s="8" t="s">
        <v>60</v>
      </c>
      <c r="E17" s="8" t="s">
        <v>61</v>
      </c>
      <c r="F17" s="8" t="s">
        <v>62</v>
      </c>
      <c r="G17" s="8" t="s">
        <v>37</v>
      </c>
      <c r="H17" s="8"/>
      <c r="I17" s="9" t="s">
        <v>38</v>
      </c>
    </row>
  </sheetData>
  <conditionalFormatting sqref="I13:I17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1">
    <dataValidation type="list" allowBlank="1" sqref="I13:I17" xr:uid="{00000000-0002-0000-0000-000000000000}">
      <formula1>"Pass,Fail"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haris</cp:lastModifiedBy>
  <cp:revision>0</cp:revision>
  <dcterms:created xsi:type="dcterms:W3CDTF">2026-10-19T11:51:39Z</dcterms:created>
  <dcterms:modified xsi:type="dcterms:W3CDTF">2026-10-19T11:59:18Z</dcterms:modified>
  <dc:language>en-US</dc:language>
</cp:coreProperties>
</file>