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0901a9ac60d4599/Desktop/tester/"/>
    </mc:Choice>
  </mc:AlternateContent>
  <xr:revisionPtr revIDLastSave="2" documentId="11_F1D3F77185C8DD3F4A2D6860E2E3D304DEC2C4A1" xr6:coauthVersionLast="47" xr6:coauthVersionMax="47" xr10:uidLastSave="{F792C245-4B26-42F8-8161-858377D697CC}"/>
  <bookViews>
    <workbookView xWindow="-120" yWindow="-120" windowWidth="20730" windowHeight="11040" tabRatio="500" xr2:uid="{00000000-000D-0000-FFFF-FFFF00000000}"/>
  </bookViews>
  <sheets>
    <sheet name="Bug Report" sheetId="1" r:id="rId1"/>
    <sheet name="Severity vs Priority" sheetId="2" r:id="rId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<sst xmlns="http://schemas.openxmlformats.org/spreadsheetml/2006/main" count="71" uniqueCount="58">
  <si>
    <t>SauceDemo Bug Report</t>
  </si>
  <si>
    <t>Project</t>
  </si>
  <si>
    <t>SauceDemo Testing</t>
  </si>
  <si>
    <t>SUMMARY</t>
  </si>
  <si>
    <t>Website</t>
  </si>
  <si>
    <t>https://www.saucedemo.com</t>
  </si>
  <si>
    <t>Total Bugs</t>
  </si>
  <si>
    <t>Test User</t>
  </si>
  <si>
    <t>problem_user</t>
  </si>
  <si>
    <t>Critical</t>
  </si>
  <si>
    <t>Environment</t>
  </si>
  <si>
    <t>Chrome, Manual Testing</t>
  </si>
  <si>
    <t>High</t>
  </si>
  <si>
    <t>Reported By</t>
  </si>
  <si>
    <t>Medium</t>
  </si>
  <si>
    <t>Report Date</t>
  </si>
  <si>
    <t>19 Oct 2026</t>
  </si>
  <si>
    <t>Low</t>
  </si>
  <si>
    <t>Open (New/Open/In Progress)</t>
  </si>
  <si>
    <t>Note: Yellow cells are filled in by the tester. Attach a screenshot for each bug in the Evidence column. Severity and Priority are the tester's assessment.</t>
  </si>
  <si>
    <t>Closed</t>
  </si>
  <si>
    <t>Bug 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</si>
  <si>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</si>
  <si>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</si>
  <si>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</si>
  <si>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</si>
  <si>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</si>
  <si>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</si>
  <si>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</si>
  <si>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Evidence</t>
  </si>
  <si>
    <t>Status</t>
  </si>
  <si>
    <t>BUG-001</t>
  </si>
  <si>
    <t>Product images on the inventory page are incorrect</t>
  </si>
  <si>
    <t>Inventory</t>
  </si>
  <si>
    <t>Chrome, saucedemo.com, problem_user</t>
  </si>
  <si>
    <t>1. Open saucedemo.com and log in with problem_user / secret_sauce
2. Look at the product images on the Products page</t>
  </si>
  <si>
    <t>Each product displays its own correct image</t>
  </si>
  <si>
    <t>Product images are incorrect and do not match the products</t>
  </si>
  <si>
    <t>(Attach screenshot)</t>
  </si>
  <si>
    <t>New</t>
  </si>
  <si>
    <t>BUG-002</t>
  </si>
  <si>
    <t>Remove button does not remove item from the cart</t>
  </si>
  <si>
    <t>Cart</t>
  </si>
  <si>
    <t>1. Open saucedemo.com and log in with problem_user / secret_sauce
2. Click Add to cart on a product
3. Click Remove on the same product</t>
  </si>
  <si>
    <t>The item is removed from the cart and the button changes back to Add to cart</t>
  </si>
  <si>
    <t>The item is not removed when Remove is clicked</t>
  </si>
  <si>
    <t>BUG-003</t>
  </si>
  <si>
    <t>Text typed in Last Name field appears in First Name field on checkout</t>
  </si>
  <si>
    <t>Checkout</t>
  </si>
  <si>
    <t>1. Open saucedemo.com and log in with problem_user / secret_sauce
2. Click Add to cart on a product
3. Open the cart and click Checkout
4. Enter Ali in the First Name field
5. Enter Khan in the Last Name field</t>
  </si>
  <si>
    <t>Khan appears in the Last Name field and First Name stays Ali</t>
  </si>
  <si>
    <t>The Last Name field stays blank and the typed text appears in the First Name field</t>
  </si>
  <si>
    <t>Term</t>
  </si>
  <si>
    <t>Severity = how badly the bug affects the application (technical impact).</t>
  </si>
  <si>
    <t>Priority = how soon the business wants it fixed.</t>
  </si>
  <si>
    <t>Severity levels: Critical (system unusable or security issue), High (major feature broken), Medium (feature works but incorrectly), Low (cosmetic).</t>
  </si>
  <si>
    <t>Bug life cycle: New &gt; Open &gt; In Progress &gt; Fixed &gt; Retest &gt; Closed (or Reopened).</t>
  </si>
  <si>
    <t>Muhammad Haris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</si>
</sst>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name val="Arial"/>
      <charset val="1"/>
    </font>
    <font>
      <b/>
      <sz val="11"/>
      <color rgb="FFFFFFFF"/>
      <name val="Arial"/>
      <charset val="1"/>
    </font>
    <font>
      <b/>
      <sz val="1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Normal="100" workbookViewId="0">
      <pane ySplit="11" topLeftCell="A12" activePane="bottomLeft" state="frozen"/>
      <selection pane="bottomLeft" activeCell="G11" sqref="G11"/>
    </sheetView>
  </sheetViews>
  <sheetFormatPr defaultColWidth="8.7109375" defaultRowHeight="15" x14ac:dyDescent="0.25"/>
  <cols>
    <col min="1" max="1" width="10" customWidth="1"/>
    <col min="2" max="2" width="38" customWidth="1"/>
    <col min="3" max="3" width="12" customWidth="1"/>
    <col min="4" max="4" width="30" customWidth="1"/>
    <col min="5" max="5" width="11" customWidth="1"/>
    <col min="6" max="6" width="10" customWidth="1"/>
    <col min="7" max="7" width="48" customWidth="1"/>
    <col min="8" max="9" width="38" customWidth="1"/>
    <col min="10" max="10" width="18" customWidth="1"/>
    <col min="11" max="11" width="12" customWidth="1"/>
  </cols>
  <sheetData>
    <row r="1" spans="1:11" ht="20.25" x14ac:dyDescent="0.3">
      <c r="A1" s="1" t="s">
        <v>0</v>
      </c>
    </row>
    <row r="3" spans="1:11" x14ac:dyDescent="0.25">
      <c r="A3" s="2" t="s">
        <v>1</v>
      </c>
      <c r="B3" s="3" t="s">
        <v>2</v>
      </c>
      <c r="E3" s="2" t="s">
        <v>3</v>
      </c>
    </row>
    <row r="4" spans="1:11" x14ac:dyDescent="0.25">
      <c r="A4" s="2" t="s">
        <v>4</v>
      </c>
      <c r="B4" s="3" t="s">
        <v>5</v>
      </c>
      <c r="E4" s="2" t="s">
        <v>6</v>
      </c>
      <c r="F4" s="3">
        <f>COUNTA(A12:A14)</f>
        <v>3</v>
      </c>
    </row>
    <row r="5" spans="1:11" x14ac:dyDescent="0.25">
      <c r="A5" s="2" t="s">
        <v>7</v>
      </c>
      <c r="B5" s="3" t="s">
        <v>8</v>
      </c>
      <c r="E5" s="2" t="s">
        <v>9</v>
      </c>
      <c r="F5" s="3">
        <f>COUNTIF(E12:E14,"Critical")</f>
        <v>0</v>
      </c>
    </row>
    <row r="6" spans="1:11" x14ac:dyDescent="0.25">
      <c r="A6" s="2" t="s">
        <v>10</v>
      </c>
      <c r="B6" s="3" t="s">
        <v>11</v>
      </c>
      <c r="E6" s="2" t="s">
        <v>12</v>
      </c>
      <c r="F6" s="3">
        <f>COUNTIF(E12:E14,"High")</f>
        <v>2</v>
      </c>
    </row>
    <row r="7" spans="1:11" x14ac:dyDescent="0.25">
      <c r="A7" s="2" t="s">
        <v>13</v>
      </c>
      <c r="B7" s="4" t="s">
        <v>57</v>
      </c>
      <c r="E7" s="2" t="s">
        <v>14</v>
      </c>
      <c r="F7" s="3">
        <f>COUNTIF(E12:E14,"Medium")</f>
        <v>1</v>
      </c>
    </row>
    <row r="8" spans="1:11" x14ac:dyDescent="0.25">
      <c r="A8" s="2" t="s">
        <v>15</v>
      </c>
      <c r="B8" s="3" t="s">
        <v>16</v>
      </c>
      <c r="E8" s="2" t="s">
        <v>17</v>
      </c>
      <c r="F8" s="3">
        <f>COUNTIF(E12:E14,"Low")</f>
        <v>0</v>
      </c>
    </row>
    <row r="9" spans="1:11" x14ac:dyDescent="0.25">
      <c r="E9" s="2" t="s">
        <v>18</v>
      </c>
      <c r="F9" s="3">
        <f>COUNTIF(K12:K14,"New")+COUNTIF(K12:K14,"Open")+COUNTIF(K12:K14,"In Progress")</f>
        <v>3</v>
      </c>
    </row>
    <row r="10" spans="1:11" x14ac:dyDescent="0.25">
      <c r="A10" s="5" t="s">
        <v>19</v>
      </c>
      <c r="E10" s="2" t="s">
        <v>20</v>
      </c>
      <c r="F10" s="3">
        <f>COUNTIF(K12:K14,"Closed")</f>
        <v>0</v>
      </c>
    </row>
    <row r="11" spans="1:11" x14ac:dyDescent="0.25">
      <c r="A11" s="6" t="s">
        <v>21</v>
      </c>
      <c r="B11" s="6" t="s">
        <v>22</v>
      </c>
      <c r="C11" s="6" t="s">
        <v>23</v>
      </c>
      <c r="D11" s="6" t="s">
        <v>10</v>
      </c>
      <c r="E11" s="6" t="s">
        <v>24</v>
      </c>
      <c r="F11" s="6" t="s">
        <v>25</v>
      </c>
      <c r="G11" s="6" t="s">
        <v>26</v>
      </c>
      <c r="H11" s="6" t="s">
        <v>27</v>
      </c>
      <c r="I11" s="6" t="s">
        <v>28</v>
      </c>
      <c r="J11" s="6" t="s">
        <v>29</v>
      </c>
      <c r="K11" s="6" t="s">
        <v>30</v>
      </c>
    </row>
    <row r="12" spans="1:11" ht="57" x14ac:dyDescent="0.25">
      <c r="A12" s="7" t="s">
        <v>31</v>
      </c>
      <c r="B12" s="7" t="s">
        <v>32</v>
      </c>
      <c r="C12" s="7" t="s">
        <v>33</v>
      </c>
      <c r="D12" s="7" t="s">
        <v>34</v>
      </c>
      <c r="E12" s="7" t="s">
        <v>14</v>
      </c>
      <c r="F12" s="7" t="s">
        <v>14</v>
      </c>
      <c r="G12" s="7" t="s">
        <v>35</v>
      </c>
      <c r="H12" s="7" t="s">
        <v>36</v>
      </c>
      <c r="I12" s="7" t="s">
        <v>37</v>
      </c>
      <c r="J12" s="8" t="s">
        <v>38</v>
      </c>
      <c r="K12" s="8" t="s">
        <v>39</v>
      </c>
    </row>
    <row r="13" spans="1:11" ht="57" x14ac:dyDescent="0.25">
      <c r="A13" s="7" t="s">
        <v>40</v>
      </c>
      <c r="B13" s="7" t="s">
        <v>41</v>
      </c>
      <c r="C13" s="7" t="s">
        <v>42</v>
      </c>
      <c r="D13" s="7" t="s">
        <v>34</v>
      </c>
      <c r="E13" s="7" t="s">
        <v>12</v>
      </c>
      <c r="F13" s="7" t="s">
        <v>12</v>
      </c>
      <c r="G13" s="7" t="s">
        <v>43</v>
      </c>
      <c r="H13" s="7" t="s">
        <v>44</v>
      </c>
      <c r="I13" s="7" t="s">
        <v>45</v>
      </c>
      <c r="J13" s="8" t="s">
        <v>38</v>
      </c>
      <c r="K13" s="8" t="s">
        <v>39</v>
      </c>
    </row>
    <row r="14" spans="1:11" ht="85.5" x14ac:dyDescent="0.25">
      <c r="A14" s="7" t="s">
        <v>46</v>
      </c>
      <c r="B14" s="7" t="s">
        <v>47</v>
      </c>
      <c r="C14" s="7" t="s">
        <v>48</v>
      </c>
      <c r="D14" s="7" t="s">
        <v>34</v>
      </c>
      <c r="E14" s="7" t="s">
        <v>12</v>
      </c>
      <c r="F14" s="7" t="s">
        <v>12</v>
      </c>
      <c r="G14" s="7" t="s">
        <v>49</v>
      </c>
      <c r="H14" s="7" t="s">
        <v>50</v>
      </c>
      <c r="I14" s="7" t="s">
        <v>51</v>
      </c>
      <c r="J14" s="8" t="s">
        <v>38</v>
      </c>
      <c r="K14" s="8" t="s">
        <v>39</v>
      </c>
    </row>
  </sheetData>
  <dataValidations count="3">
    <dataValidation type="list" allowBlank="1" sqref="E12:E14" xr:uid="{00000000-0002-0000-0000-000000000000}">
      <formula1>"Critical,High,Medium,Low"</formula1>
      <formula2>0</formula2>
    </dataValidation>
    <dataValidation type="list" allowBlank="1" sqref="F12:F14" xr:uid="{00000000-0002-0000-0000-000001000000}">
      <formula1>"High,Medium,Low"</formula1>
      <formula2>0</formula2>
    </dataValidation>
    <dataValidation type="list" allowBlank="1" sqref="K12:K14" xr:uid="{00000000-0002-0000-0000-000002000000}">
      <formula1>"New,Open,In Progress,Fixed,Retest,Closed,Reopened"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zoomScaleNormal="100" workbookViewId="0"/>
  </sheetViews>
  <sheetFormatPr defaultColWidth="8.7109375" defaultRowHeight="15" x14ac:dyDescent="0.25"/>
  <cols>
    <col min="1" max="1" width="130" customWidth="1"/>
  </cols>
  <sheetData>
    <row r="1" spans="1:1" ht="16.5" x14ac:dyDescent="0.25">
      <c r="A1" s="9" t="s">
        <v>52</v>
      </c>
    </row>
    <row r="2" spans="1:1" x14ac:dyDescent="0.25">
      <c r="A2" s="3" t="s">
        <v>53</v>
      </c>
    </row>
    <row r="3" spans="1:1" x14ac:dyDescent="0.25">
      <c r="A3" s="3" t="s">
        <v>54</v>
      </c>
    </row>
    <row r="4" spans="1:1" x14ac:dyDescent="0.25">
      <c r="A4" s="3"/>
    </row>
    <row r="5" spans="1:1" x14ac:dyDescent="0.25">
      <c r="A5" s="3" t="s">
        <v>55</v>
      </c>
    </row>
    <row r="6" spans="1:1" x14ac:dyDescent="0.25">
      <c r="A6" s="3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Severity vs 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haris</cp:lastModifiedBy>
  <cp:revision>0</cp:revision>
  <dcterms:created xsi:type="dcterms:W3CDTF">2026-10-19T11:56:13Z</dcterms:created>
  <dcterms:modified xsi:type="dcterms:W3CDTF">2026-10-19T11:58:52Z</dcterms:modified>
  <dc:language>en-US</dc:language>
</cp:coreProperties>
</file>